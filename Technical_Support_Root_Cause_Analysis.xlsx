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rriahvann/Desktop/"/>
    </mc:Choice>
  </mc:AlternateContent>
  <xr:revisionPtr revIDLastSave="0" documentId="8_{B72F0CA1-4C34-D540-AA6E-526B68AC977C}" xr6:coauthVersionLast="47" xr6:coauthVersionMax="47" xr10:uidLastSave="{00000000-0000-0000-0000-000000000000}"/>
  <bookViews>
    <workbookView xWindow="0" yWindow="0" windowWidth="28800" windowHeight="18000" xr2:uid="{C5858DB1-678A-8845-A00E-2B30A59E6D20}"/>
  </bookViews>
  <sheets>
    <sheet name="Dashboard1" sheetId="6" r:id="rId1"/>
    <sheet name="Dashboard" sheetId="5" r:id="rId2"/>
    <sheet name="Ticket Data" sheetId="3" r:id="rId3"/>
    <sheet name="Sheet4" sheetId="4" r:id="rId4"/>
  </sheets>
  <calcPr calcId="181029"/>
  <pivotCaches>
    <pivotCache cacheId="1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<sst xmlns="http://schemas.openxmlformats.org/spreadsheetml/2006/main" count="262" uniqueCount="115">
  <si>
    <t>Date</t>
  </si>
  <si>
    <t>Priority</t>
  </si>
  <si>
    <t>Escalated</t>
  </si>
  <si>
    <t>Status</t>
  </si>
  <si>
    <t>Ticket ID</t>
  </si>
  <si>
    <t>Issue Type</t>
  </si>
  <si>
    <t>Resolution Time (hrs)</t>
  </si>
  <si>
    <t>Root Cause</t>
  </si>
  <si>
    <t>Client Impact</t>
  </si>
  <si>
    <t>TCK-001</t>
  </si>
  <si>
    <t>Login Access</t>
  </si>
  <si>
    <t>High</t>
  </si>
  <si>
    <t>Password Reset</t>
  </si>
  <si>
    <t>No</t>
  </si>
  <si>
    <t>Resolved</t>
  </si>
  <si>
    <t>User unable to access system</t>
  </si>
  <si>
    <t>TCK-002</t>
  </si>
  <si>
    <t>Connectivity</t>
  </si>
  <si>
    <t>Medium</t>
  </si>
  <si>
    <t>VPN Configuration</t>
  </si>
  <si>
    <t>Yes</t>
  </si>
  <si>
    <t>Remote access interrupted</t>
  </si>
  <si>
    <t>TCK-003</t>
  </si>
  <si>
    <t>Software Error</t>
  </si>
  <si>
    <t>Application Bug</t>
  </si>
  <si>
    <t>Workflow delayed</t>
  </si>
  <si>
    <t>TCK-004</t>
  </si>
  <si>
    <t>Printer Issue</t>
  </si>
  <si>
    <t>Low</t>
  </si>
  <si>
    <t>Driver Issue</t>
  </si>
  <si>
    <t>Printing delayed</t>
  </si>
  <si>
    <t>TCK-005</t>
  </si>
  <si>
    <t>Account Lockout</t>
  </si>
  <si>
    <t>User access delayed</t>
  </si>
  <si>
    <t>TCK-006</t>
  </si>
  <si>
    <t>Network Outage</t>
  </si>
  <si>
    <t>Multiple users impacted</t>
  </si>
  <si>
    <t>TCK-007</t>
  </si>
  <si>
    <t>User Permission Issue</t>
  </si>
  <si>
    <t>Feature unavailable</t>
  </si>
  <si>
    <t>TCK-008</t>
  </si>
  <si>
    <t>Hardware Issue</t>
  </si>
  <si>
    <t>Device Failure</t>
  </si>
  <si>
    <t>Workstation unavailable</t>
  </si>
  <si>
    <t>TCK-009</t>
  </si>
  <si>
    <t>Access restored</t>
  </si>
  <si>
    <t>TCK-010</t>
  </si>
  <si>
    <t>Remote work interrupted</t>
  </si>
  <si>
    <t>TCK-011</t>
  </si>
  <si>
    <t>Email Issue</t>
  </si>
  <si>
    <t>Mailbox Sync Error</t>
  </si>
  <si>
    <t>Delayed communication</t>
  </si>
  <si>
    <t>TCK-012</t>
  </si>
  <si>
    <t>ISP Outage</t>
  </si>
  <si>
    <t>Remote users disconnected</t>
  </si>
  <si>
    <t>TCK-013</t>
  </si>
  <si>
    <t>MFA Reset</t>
  </si>
  <si>
    <t>User unable to authenticate</t>
  </si>
  <si>
    <t>TCK-014</t>
  </si>
  <si>
    <t>Corrupted Update</t>
  </si>
  <si>
    <t>Application unavailable</t>
  </si>
  <si>
    <t>TCK-015</t>
  </si>
  <si>
    <t>Peripheral Failure</t>
  </si>
  <si>
    <t>Limited workstation use</t>
  </si>
  <si>
    <t>TCK-016</t>
  </si>
  <si>
    <t>VPN Timeout</t>
  </si>
  <si>
    <t>Slow remote access</t>
  </si>
  <si>
    <t>TCK-017</t>
  </si>
  <si>
    <t>Active Directory Sync</t>
  </si>
  <si>
    <t>Access disruption</t>
  </si>
  <si>
    <t>TCK-018</t>
  </si>
  <si>
    <t>Outlook Configuration</t>
  </si>
  <si>
    <t>Delayed email access</t>
  </si>
  <si>
    <t>TCK-019</t>
  </si>
  <si>
    <t>Permission Conflict</t>
  </si>
  <si>
    <t>Feature restrictions</t>
  </si>
  <si>
    <t>TCK-020</t>
  </si>
  <si>
    <t>Firewall Misconfiguration</t>
  </si>
  <si>
    <t>Department-wide outage</t>
  </si>
  <si>
    <t>TCK-021</t>
  </si>
  <si>
    <t>Device Replacement</t>
  </si>
  <si>
    <t>Productivity slowdown</t>
  </si>
  <si>
    <t>TCK-022</t>
  </si>
  <si>
    <t>Temporary access issue</t>
  </si>
  <si>
    <t>TCK-023</t>
  </si>
  <si>
    <t>Application Crash</t>
  </si>
  <si>
    <t>Workflow interruption</t>
  </si>
  <si>
    <t>TCK-024</t>
  </si>
  <si>
    <t>Exchange Delay</t>
  </si>
  <si>
    <t>TCK-025</t>
  </si>
  <si>
    <t>Router Configuration</t>
  </si>
  <si>
    <t>Intermittent connection</t>
  </si>
  <si>
    <t>TCK-026</t>
  </si>
  <si>
    <t>Authentication Failure</t>
  </si>
  <si>
    <t>System access blocked</t>
  </si>
  <si>
    <t>TCK-027</t>
  </si>
  <si>
    <t>Cable Failure</t>
  </si>
  <si>
    <t>Minor workstation issue</t>
  </si>
  <si>
    <t>TCK-028</t>
  </si>
  <si>
    <t>Plugin Conflict</t>
  </si>
  <si>
    <t>Reduced application performance</t>
  </si>
  <si>
    <t>TCK-029</t>
  </si>
  <si>
    <t>DNS Failure</t>
  </si>
  <si>
    <t>Multiple systems impacted</t>
  </si>
  <si>
    <t>TCK-030</t>
  </si>
  <si>
    <t>User Configuration</t>
  </si>
  <si>
    <t>Delayed inbox access</t>
  </si>
  <si>
    <t>Total Tickets</t>
  </si>
  <si>
    <t>Avg Resolution Time</t>
  </si>
  <si>
    <t>Escalation Rate</t>
  </si>
  <si>
    <t>High Priority Tickets</t>
  </si>
  <si>
    <t>Row Labels</t>
  </si>
  <si>
    <t>Grand Total</t>
  </si>
  <si>
    <t>Count of Ticket ID</t>
  </si>
  <si>
    <t>Average of Resolution Time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</si>
</sst>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2" fillId="3" borderId="1" xfId="0" applyFont="1" applyFill="1" applyBorder="1"/>
    <xf numFmtId="14" fontId="2" fillId="3" borderId="2" xfId="0" applyNumberFormat="1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[Technical_Support_Root_Cause_Analysis.xlsx]Dashboard1!PivotTable4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Root Cause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Dashboard1!$A$4:$A$31</c:f>
              <c:strCache>
                <c:ptCount val="27"/>
                <c:pt idx="0">
                  <c:v>Account Lockout</c:v>
                </c:pt>
                <c:pt idx="1">
                  <c:v>Active Directory Sync</c:v>
                </c:pt>
                <c:pt idx="2">
                  <c:v>Application Bug</c:v>
                </c:pt>
                <c:pt idx="3">
                  <c:v>Application Crash</c:v>
                </c:pt>
                <c:pt idx="4">
                  <c:v>Authentication Failure</c:v>
                </c:pt>
                <c:pt idx="5">
                  <c:v>Cable Failure</c:v>
                </c:pt>
                <c:pt idx="6">
                  <c:v>Corrupted Update</c:v>
                </c:pt>
                <c:pt idx="7">
                  <c:v>Device Failure</c:v>
                </c:pt>
                <c:pt idx="8">
                  <c:v>Device Replacement</c:v>
                </c:pt>
                <c:pt idx="9">
                  <c:v>DNS Failure</c:v>
                </c:pt>
                <c:pt idx="10">
                  <c:v>Driver Issue</c:v>
                </c:pt>
                <c:pt idx="11">
                  <c:v>Exchange Delay</c:v>
                </c:pt>
                <c:pt idx="12">
                  <c:v>Firewall Misconfiguration</c:v>
                </c:pt>
                <c:pt idx="13">
                  <c:v>ISP Outage</c:v>
                </c:pt>
                <c:pt idx="14">
                  <c:v>Mailbox Sync Error</c:v>
                </c:pt>
                <c:pt idx="15">
                  <c:v>MFA Reset</c:v>
                </c:pt>
                <c:pt idx="16">
                  <c:v>Network Outage</c:v>
                </c:pt>
                <c:pt idx="17">
                  <c:v>Outlook Configuration</c:v>
                </c:pt>
                <c:pt idx="18">
                  <c:v>Password Reset</c:v>
                </c:pt>
                <c:pt idx="19">
                  <c:v>Peripheral Failure</c:v>
                </c:pt>
                <c:pt idx="20">
                  <c:v>Permission Conflict</c:v>
                </c:pt>
                <c:pt idx="21">
                  <c:v>Plugin Conflict</c:v>
                </c:pt>
                <c:pt idx="22">
                  <c:v>Router Configuration</c:v>
                </c:pt>
                <c:pt idx="23">
                  <c:v>User Configuration</c:v>
                </c:pt>
                <c:pt idx="24">
                  <c:v>User Permission Issue</c:v>
                </c:pt>
                <c:pt idx="25">
                  <c:v>VPN Configuration</c:v>
                </c:pt>
                <c:pt idx="26">
                  <c:v>VPN Timeout</c:v>
                </c:pt>
              </c:strCache>
            </c:strRef>
          </c:cat>
          <c:val>
            <c:numRef>
              <c:f>Dashboard1!$B$4:$B$31</c:f>
              <c:numCache>
                <c:formatCode>General</c:formatCode>
                <c:ptCount val="27"/>
                <c:pt idx="0">
                  <c:v>1</c:v>
                </c:pt>
                <c:pt idx="1">
                  <c:v>1.1000000000000001</c:v>
                </c:pt>
                <c:pt idx="2">
                  <c:v>3</c:v>
                </c:pt>
                <c:pt idx="3">
                  <c:v>3.7</c:v>
                </c:pt>
                <c:pt idx="4">
                  <c:v>1.3</c:v>
                </c:pt>
                <c:pt idx="5">
                  <c:v>0.9</c:v>
                </c:pt>
                <c:pt idx="6">
                  <c:v>4.0999999999999996</c:v>
                </c:pt>
                <c:pt idx="7">
                  <c:v>1.5</c:v>
                </c:pt>
                <c:pt idx="8">
                  <c:v>1.8</c:v>
                </c:pt>
                <c:pt idx="9">
                  <c:v>4.4000000000000004</c:v>
                </c:pt>
                <c:pt idx="10">
                  <c:v>0.8</c:v>
                </c:pt>
                <c:pt idx="11">
                  <c:v>1.6</c:v>
                </c:pt>
                <c:pt idx="12">
                  <c:v>5</c:v>
                </c:pt>
                <c:pt idx="13">
                  <c:v>3.6</c:v>
                </c:pt>
                <c:pt idx="14">
                  <c:v>1.7</c:v>
                </c:pt>
                <c:pt idx="15">
                  <c:v>0.9</c:v>
                </c:pt>
                <c:pt idx="16">
                  <c:v>4</c:v>
                </c:pt>
                <c:pt idx="17">
                  <c:v>0.7</c:v>
                </c:pt>
                <c:pt idx="18">
                  <c:v>0.76666666666666661</c:v>
                </c:pt>
                <c:pt idx="19">
                  <c:v>1.4</c:v>
                </c:pt>
                <c:pt idx="20">
                  <c:v>2.9</c:v>
                </c:pt>
                <c:pt idx="21">
                  <c:v>2.5</c:v>
                </c:pt>
                <c:pt idx="22">
                  <c:v>2</c:v>
                </c:pt>
                <c:pt idx="23">
                  <c:v>0.8</c:v>
                </c:pt>
                <c:pt idx="24">
                  <c:v>2.2000000000000002</c:v>
                </c:pt>
                <c:pt idx="25">
                  <c:v>2.65</c:v>
                </c:pt>
                <c:pt idx="26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D-B442-AFE3-C88FF3538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675520"/>
        <c:axId val="1356673728"/>
      </c:barChart>
      <c:catAx>
        <c:axId val="135667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673728"/>
        <c:crosses val="autoZero"/>
        <c:auto val="1"/>
        <c:lblAlgn val="ctr"/>
        <c:lblOffset val="100"/>
        <c:noMultiLvlLbl val="0"/>
      </c:catAx>
      <c:valAx>
        <c:axId val="135667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67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[Technical_Support_Root_Cause_Analysis.xlsx]Dashboard!PivotTable3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Dashboard!$A$4:$A$10</c:f>
              <c:strCache>
                <c:ptCount val="6"/>
                <c:pt idx="0">
                  <c:v>Connectivity</c:v>
                </c:pt>
                <c:pt idx="1">
                  <c:v>Email Issue</c:v>
                </c:pt>
                <c:pt idx="2">
                  <c:v>Hardware Issue</c:v>
                </c:pt>
                <c:pt idx="3">
                  <c:v>Login Access</c:v>
                </c:pt>
                <c:pt idx="4">
                  <c:v>Printer Issue</c:v>
                </c:pt>
                <c:pt idx="5">
                  <c:v>Software Error</c:v>
                </c:pt>
              </c:strCache>
            </c:strRef>
          </c:cat>
          <c:val>
            <c:numRef>
              <c:f>Dashboard!$B$4:$B$10</c:f>
              <c:numCache>
                <c:formatCode>General</c:formatCode>
                <c:ptCount val="6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7</c:v>
                </c:pt>
                <c:pt idx="4">
                  <c:v>1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3-204A-8C87-F7E96B7B0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372160"/>
        <c:axId val="1569369024"/>
      </c:barChart>
      <c:catAx>
        <c:axId val="156937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369024"/>
        <c:crosses val="autoZero"/>
        <c:auto val="1"/>
        <c:lblAlgn val="ctr"/>
        <c:lblOffset val="100"/>
        <c:noMultiLvlLbl val="0"/>
      </c:catAx>
      <c:valAx>
        <c:axId val="156936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372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368300</xdr:colOff>
      <xdr:row>4</xdr:row>
      <xdr:rowOff>44450</xdr:rowOff>
    </xdr:from>
    <xdr:to>
      <xdr:col>10</xdr:col>
      <xdr:colOff>457200</xdr:colOff>
      <xdr:row>29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7C623-78D8-2BB8-2CE5-CA123A96A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3</xdr:row>
      <xdr:rowOff>120650</xdr:rowOff>
    </xdr:from>
    <xdr:to>
      <xdr:col>8</xdr:col>
      <xdr:colOff>723900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399E7F-8B2A-C978-CB0D-204F35FE7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rriah Vann" refreshedDate="46157.816355439812" createdVersion="8" refreshedVersion="8" minRefreshableVersion="3" recordCount="30" xr:uid="{08A6C04A-C6F7-B347-B504-91484F35D9BF}">
  <cacheSource type="worksheet">
    <worksheetSource ref="A1:I31" sheet="Ticket Data"/>
  </cacheSource>
  <cacheFields count="9">
    <cacheField name="Ticket ID" numFmtId="0">
      <sharedItems/>
    </cacheField>
    <cacheField name="Date" numFmtId="14">
      <sharedItems containsSemiMixedTypes="0" containsNonDate="0" containsDate="1" containsString="0" minDate="2026-01-05T00:00:00" maxDate="2026-01-20T00:00:00"/>
    </cacheField>
    <cacheField name="Issue Type" numFmtId="0">
      <sharedItems count="6">
        <s v="Login Access"/>
        <s v="Connectivity"/>
        <s v="Software Error"/>
        <s v="Printer Issue"/>
        <s v="Hardware Issue"/>
        <s v="Email Issue"/>
      </sharedItems>
    </cacheField>
    <cacheField name="Priority" numFmtId="0">
      <sharedItems/>
    </cacheField>
    <cacheField name="Resolution Time (hrs)" numFmtId="0">
      <sharedItems containsSemiMixedTypes="0" containsString="0" containsNumber="1" minValue="0.5" maxValue="5"/>
    </cacheField>
    <cacheField name="Root Cause" numFmtId="0">
      <sharedItems count="27">
        <s v="Password Reset"/>
        <s v="VPN Configuration"/>
        <s v="Application Bug"/>
        <s v="Driver Issue"/>
        <s v="Account Lockout"/>
        <s v="Network Outage"/>
        <s v="User Permission Issue"/>
        <s v="Device Failure"/>
        <s v="Mailbox Sync Error"/>
        <s v="ISP Outage"/>
        <s v="MFA Reset"/>
        <s v="Corrupted Update"/>
        <s v="Peripheral Failure"/>
        <s v="VPN Timeout"/>
        <s v="Active Directory Sync"/>
        <s v="Outlook Configuration"/>
        <s v="Permission Conflict"/>
        <s v="Firewall Misconfiguration"/>
        <s v="Device Replacement"/>
        <s v="Application Crash"/>
        <s v="Exchange Delay"/>
        <s v="Router Configuration"/>
        <s v="Authentication Failure"/>
        <s v="Cable Failure"/>
        <s v="Plugin Conflict"/>
        <s v="DNS Failure"/>
        <s v="User Configuration"/>
      </sharedItems>
    </cacheField>
    <cacheField name="Escalated" numFmtId="0">
      <sharedItems/>
    </cacheField>
    <cacheField name="Status" numFmtId="0">
      <sharedItems/>
    </cacheField>
    <cacheField name="Client Impa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TCK-001"/>
    <d v="2026-01-05T00:00:00"/>
    <x v="0"/>
    <s v="High"/>
    <n v="1.2"/>
    <x v="0"/>
    <s v="No"/>
    <s v="Resolved"/>
    <s v="User unable to access system"/>
  </r>
  <r>
    <s v="TCK-002"/>
    <d v="2026-01-05T00:00:00"/>
    <x v="1"/>
    <s v="Medium"/>
    <n v="2.5"/>
    <x v="1"/>
    <s v="Yes"/>
    <s v="Resolved"/>
    <s v="Remote access interrupted"/>
  </r>
  <r>
    <s v="TCK-003"/>
    <d v="2026-01-06T00:00:00"/>
    <x v="2"/>
    <s v="High"/>
    <n v="3"/>
    <x v="2"/>
    <s v="Yes"/>
    <s v="Resolved"/>
    <s v="Workflow delayed"/>
  </r>
  <r>
    <s v="TCK-004"/>
    <d v="2026-01-06T00:00:00"/>
    <x v="3"/>
    <s v="Low"/>
    <n v="0.8"/>
    <x v="3"/>
    <s v="No"/>
    <s v="Resolved"/>
    <s v="Printing delayed"/>
  </r>
  <r>
    <s v="TCK-005"/>
    <d v="2026-01-07T00:00:00"/>
    <x v="0"/>
    <s v="Medium"/>
    <n v="1"/>
    <x v="4"/>
    <s v="No"/>
    <s v="Resolved"/>
    <s v="User access delayed"/>
  </r>
  <r>
    <s v="TCK-006"/>
    <d v="2026-01-07T00:00:00"/>
    <x v="1"/>
    <s v="High"/>
    <n v="4"/>
    <x v="5"/>
    <s v="Yes"/>
    <s v="Resolved"/>
    <s v="Multiple users impacted"/>
  </r>
  <r>
    <s v="TCK-007"/>
    <d v="2026-01-08T00:00:00"/>
    <x v="2"/>
    <s v="Medium"/>
    <n v="2.2000000000000002"/>
    <x v="6"/>
    <s v="No"/>
    <s v="Resolved"/>
    <s v="Feature unavailable"/>
  </r>
  <r>
    <s v="TCK-008"/>
    <d v="2026-01-08T00:00:00"/>
    <x v="4"/>
    <s v="Low"/>
    <n v="1.5"/>
    <x v="7"/>
    <s v="Yes"/>
    <s v="Resolved"/>
    <s v="Workstation unavailable"/>
  </r>
  <r>
    <s v="TCK-009"/>
    <d v="2026-01-09T00:00:00"/>
    <x v="0"/>
    <s v="Low"/>
    <n v="0.6"/>
    <x v="0"/>
    <s v="No"/>
    <s v="Resolved"/>
    <s v="Access restored"/>
  </r>
  <r>
    <s v="TCK-010"/>
    <d v="2026-01-09T00:00:00"/>
    <x v="1"/>
    <s v="Medium"/>
    <n v="2.8"/>
    <x v="1"/>
    <s v="Yes"/>
    <s v="Resolved"/>
    <s v="Remote work interrupted"/>
  </r>
  <r>
    <s v="TCK-011"/>
    <d v="2026-01-10T00:00:00"/>
    <x v="5"/>
    <s v="Medium"/>
    <n v="1.7"/>
    <x v="8"/>
    <s v="No"/>
    <s v="Resolved"/>
    <s v="Delayed communication"/>
  </r>
  <r>
    <s v="TCK-012"/>
    <d v="2026-01-10T00:00:00"/>
    <x v="1"/>
    <s v="High"/>
    <n v="3.6"/>
    <x v="9"/>
    <s v="Yes"/>
    <s v="Resolved"/>
    <s v="Remote users disconnected"/>
  </r>
  <r>
    <s v="TCK-013"/>
    <d v="2026-01-11T00:00:00"/>
    <x v="0"/>
    <s v="Medium"/>
    <n v="0.9"/>
    <x v="10"/>
    <s v="No"/>
    <s v="Resolved"/>
    <s v="User unable to authenticate"/>
  </r>
  <r>
    <s v="TCK-014"/>
    <d v="2026-01-11T00:00:00"/>
    <x v="2"/>
    <s v="High"/>
    <n v="4.0999999999999996"/>
    <x v="11"/>
    <s v="Yes"/>
    <s v="Resolved"/>
    <s v="Application unavailable"/>
  </r>
  <r>
    <s v="TCK-015"/>
    <d v="2026-01-12T00:00:00"/>
    <x v="4"/>
    <s v="Low"/>
    <n v="1.4"/>
    <x v="12"/>
    <s v="No"/>
    <s v="Resolved"/>
    <s v="Limited workstation use"/>
  </r>
  <r>
    <s v="TCK-016"/>
    <d v="2026-01-12T00:00:00"/>
    <x v="1"/>
    <s v="Medium"/>
    <n v="2.2999999999999998"/>
    <x v="13"/>
    <s v="No"/>
    <s v="Resolved"/>
    <s v="Slow remote access"/>
  </r>
  <r>
    <s v="TCK-017"/>
    <d v="2026-01-13T00:00:00"/>
    <x v="0"/>
    <s v="High"/>
    <n v="1.1000000000000001"/>
    <x v="14"/>
    <s v="Yes"/>
    <s v="Resolved"/>
    <s v="Access disruption"/>
  </r>
  <r>
    <s v="TCK-018"/>
    <d v="2026-01-13T00:00:00"/>
    <x v="5"/>
    <s v="Low"/>
    <n v="0.7"/>
    <x v="15"/>
    <s v="No"/>
    <s v="Resolved"/>
    <s v="Delayed email access"/>
  </r>
  <r>
    <s v="TCK-019"/>
    <d v="2026-01-14T00:00:00"/>
    <x v="2"/>
    <s v="Medium"/>
    <n v="2.9"/>
    <x v="16"/>
    <s v="Yes"/>
    <s v="Resolved"/>
    <s v="Feature restrictions"/>
  </r>
  <r>
    <s v="TCK-020"/>
    <d v="2026-01-14T00:00:00"/>
    <x v="1"/>
    <s v="High"/>
    <n v="5"/>
    <x v="17"/>
    <s v="Yes"/>
    <s v="Resolved"/>
    <s v="Department-wide outage"/>
  </r>
  <r>
    <s v="TCK-021"/>
    <d v="2026-01-15T00:00:00"/>
    <x v="4"/>
    <s v="Medium"/>
    <n v="1.8"/>
    <x v="18"/>
    <s v="No"/>
    <s v="Resolved"/>
    <s v="Productivity slowdown"/>
  </r>
  <r>
    <s v="TCK-022"/>
    <d v="2026-01-15T00:00:00"/>
    <x v="0"/>
    <s v="Low"/>
    <n v="0.5"/>
    <x v="0"/>
    <s v="No"/>
    <s v="Resolved"/>
    <s v="Temporary access issue"/>
  </r>
  <r>
    <s v="TCK-023"/>
    <d v="2026-01-16T00:00:00"/>
    <x v="2"/>
    <s v="High"/>
    <n v="3.7"/>
    <x v="19"/>
    <s v="Yes"/>
    <s v="Resolved"/>
    <s v="Workflow interruption"/>
  </r>
  <r>
    <s v="TCK-024"/>
    <d v="2026-01-16T00:00:00"/>
    <x v="5"/>
    <s v="Medium"/>
    <n v="1.6"/>
    <x v="20"/>
    <s v="No"/>
    <s v="Resolved"/>
    <s v="Delayed communication"/>
  </r>
  <r>
    <s v="TCK-025"/>
    <d v="2026-01-17T00:00:00"/>
    <x v="1"/>
    <s v="Medium"/>
    <n v="2"/>
    <x v="21"/>
    <s v="No"/>
    <s v="Resolved"/>
    <s v="Intermittent connection"/>
  </r>
  <r>
    <s v="TCK-026"/>
    <d v="2026-01-17T00:00:00"/>
    <x v="0"/>
    <s v="High"/>
    <n v="1.3"/>
    <x v="22"/>
    <s v="Yes"/>
    <s v="Resolved"/>
    <s v="System access blocked"/>
  </r>
  <r>
    <s v="TCK-027"/>
    <d v="2026-01-18T00:00:00"/>
    <x v="4"/>
    <s v="Low"/>
    <n v="0.9"/>
    <x v="23"/>
    <s v="No"/>
    <s v="Resolved"/>
    <s v="Minor workstation issue"/>
  </r>
  <r>
    <s v="TCK-028"/>
    <d v="2026-01-18T00:00:00"/>
    <x v="2"/>
    <s v="Medium"/>
    <n v="2.5"/>
    <x v="24"/>
    <s v="No"/>
    <s v="Resolved"/>
    <s v="Reduced application performance"/>
  </r>
  <r>
    <s v="TCK-029"/>
    <d v="2026-01-19T00:00:00"/>
    <x v="1"/>
    <s v="High"/>
    <n v="4.4000000000000004"/>
    <x v="25"/>
    <s v="Yes"/>
    <s v="Resolved"/>
    <s v="Multiple systems impacted"/>
  </r>
  <r>
    <s v="TCK-030"/>
    <d v="2026-01-19T00:00:00"/>
    <x v="5"/>
    <s v="Low"/>
    <n v="0.8"/>
    <x v="26"/>
    <s v="No"/>
    <s v="Resolved"/>
    <s v="Delayed inbox acces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C1A5B-B568-EE41-8F72-88CE24087DA4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1" firstHeaderRow="1" firstDataRow="1" firstDataCol="1"/>
  <pivotFields count="9">
    <pivotField showAll="0"/>
    <pivotField numFmtId="14" showAll="0"/>
    <pivotField showAll="0"/>
    <pivotField showAll="0"/>
    <pivotField dataField="1" showAll="0"/>
    <pivotField axis="axisRow" showAll="0">
      <items count="28">
        <item x="4"/>
        <item x="14"/>
        <item x="2"/>
        <item x="19"/>
        <item x="22"/>
        <item x="23"/>
        <item x="11"/>
        <item x="7"/>
        <item x="18"/>
        <item x="25"/>
        <item x="3"/>
        <item x="20"/>
        <item x="17"/>
        <item x="9"/>
        <item x="8"/>
        <item x="10"/>
        <item x="5"/>
        <item x="15"/>
        <item x="0"/>
        <item x="12"/>
        <item x="16"/>
        <item x="24"/>
        <item x="21"/>
        <item x="26"/>
        <item x="6"/>
        <item x="1"/>
        <item x="13"/>
        <item t="default"/>
      </items>
    </pivotField>
    <pivotField showAll="0"/>
    <pivotField showAll="0"/>
    <pivotField showAll="0"/>
  </pivotFields>
  <rowFields count="1">
    <field x="5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Average of Resolution Time (hrs)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5CF9B-150B-7541-81BC-83B96C9F9A92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9">
    <pivotField dataField="1" showAll="0"/>
    <pivotField numFmtId="14" showAll="0"/>
    <pivotField axis="axisRow" showAll="0">
      <items count="7">
        <item x="1"/>
        <item x="5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icket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01054-9B48-1646-B6FB-7EF0AD6468F4}">
  <dimension ref="A3:B31"/>
  <sheetViews>
    <sheetView tabSelected="1" workbookViewId="0">
      <selection activeCell="L14" sqref="L14"/>
    </sheetView>
  </sheetViews>
  <sheetFormatPr baseColWidth="10" defaultRowHeight="16" x14ac:dyDescent="0.2"/>
  <cols>
    <col min="1" max="1" width="21.83203125" bestFit="1" customWidth="1"/>
    <col min="2" max="2" width="28.1640625" bestFit="1" customWidth="1"/>
  </cols>
  <sheetData>
    <row r="3" spans="1:2" x14ac:dyDescent="0.2">
      <c r="A3" s="15" t="s">
        <v>111</v>
      </c>
      <c r="B3" t="s">
        <v>114</v>
      </c>
    </row>
    <row r="4" spans="1:2" x14ac:dyDescent="0.2">
      <c r="A4" s="16" t="s">
        <v>32</v>
      </c>
      <c r="B4" s="17">
        <v>1</v>
      </c>
    </row>
    <row r="5" spans="1:2" x14ac:dyDescent="0.2">
      <c r="A5" s="16" t="s">
        <v>68</v>
      </c>
      <c r="B5" s="17">
        <v>1.1000000000000001</v>
      </c>
    </row>
    <row r="6" spans="1:2" x14ac:dyDescent="0.2">
      <c r="A6" s="16" t="s">
        <v>24</v>
      </c>
      <c r="B6" s="17">
        <v>3</v>
      </c>
    </row>
    <row r="7" spans="1:2" x14ac:dyDescent="0.2">
      <c r="A7" s="16" t="s">
        <v>85</v>
      </c>
      <c r="B7" s="17">
        <v>3.7</v>
      </c>
    </row>
    <row r="8" spans="1:2" x14ac:dyDescent="0.2">
      <c r="A8" s="16" t="s">
        <v>93</v>
      </c>
      <c r="B8" s="17">
        <v>1.3</v>
      </c>
    </row>
    <row r="9" spans="1:2" x14ac:dyDescent="0.2">
      <c r="A9" s="16" t="s">
        <v>96</v>
      </c>
      <c r="B9" s="17">
        <v>0.9</v>
      </c>
    </row>
    <row r="10" spans="1:2" x14ac:dyDescent="0.2">
      <c r="A10" s="16" t="s">
        <v>59</v>
      </c>
      <c r="B10" s="17">
        <v>4.0999999999999996</v>
      </c>
    </row>
    <row r="11" spans="1:2" x14ac:dyDescent="0.2">
      <c r="A11" s="16" t="s">
        <v>42</v>
      </c>
      <c r="B11" s="17">
        <v>1.5</v>
      </c>
    </row>
    <row r="12" spans="1:2" x14ac:dyDescent="0.2">
      <c r="A12" s="16" t="s">
        <v>80</v>
      </c>
      <c r="B12" s="17">
        <v>1.8</v>
      </c>
    </row>
    <row r="13" spans="1:2" x14ac:dyDescent="0.2">
      <c r="A13" s="16" t="s">
        <v>102</v>
      </c>
      <c r="B13" s="17">
        <v>4.4000000000000004</v>
      </c>
    </row>
    <row r="14" spans="1:2" x14ac:dyDescent="0.2">
      <c r="A14" s="16" t="s">
        <v>29</v>
      </c>
      <c r="B14" s="17">
        <v>0.8</v>
      </c>
    </row>
    <row r="15" spans="1:2" x14ac:dyDescent="0.2">
      <c r="A15" s="16" t="s">
        <v>88</v>
      </c>
      <c r="B15" s="17">
        <v>1.6</v>
      </c>
    </row>
    <row r="16" spans="1:2" x14ac:dyDescent="0.2">
      <c r="A16" s="16" t="s">
        <v>77</v>
      </c>
      <c r="B16" s="17">
        <v>5</v>
      </c>
    </row>
    <row r="17" spans="1:2" x14ac:dyDescent="0.2">
      <c r="A17" s="16" t="s">
        <v>53</v>
      </c>
      <c r="B17" s="17">
        <v>3.6</v>
      </c>
    </row>
    <row r="18" spans="1:2" x14ac:dyDescent="0.2">
      <c r="A18" s="16" t="s">
        <v>50</v>
      </c>
      <c r="B18" s="17">
        <v>1.7</v>
      </c>
    </row>
    <row r="19" spans="1:2" x14ac:dyDescent="0.2">
      <c r="A19" s="16" t="s">
        <v>56</v>
      </c>
      <c r="B19" s="17">
        <v>0.9</v>
      </c>
    </row>
    <row r="20" spans="1:2" x14ac:dyDescent="0.2">
      <c r="A20" s="16" t="s">
        <v>35</v>
      </c>
      <c r="B20" s="17">
        <v>4</v>
      </c>
    </row>
    <row r="21" spans="1:2" x14ac:dyDescent="0.2">
      <c r="A21" s="16" t="s">
        <v>71</v>
      </c>
      <c r="B21" s="17">
        <v>0.7</v>
      </c>
    </row>
    <row r="22" spans="1:2" x14ac:dyDescent="0.2">
      <c r="A22" s="16" t="s">
        <v>12</v>
      </c>
      <c r="B22" s="17">
        <v>0.76666666666666661</v>
      </c>
    </row>
    <row r="23" spans="1:2" x14ac:dyDescent="0.2">
      <c r="A23" s="16" t="s">
        <v>62</v>
      </c>
      <c r="B23" s="17">
        <v>1.4</v>
      </c>
    </row>
    <row r="24" spans="1:2" x14ac:dyDescent="0.2">
      <c r="A24" s="16" t="s">
        <v>74</v>
      </c>
      <c r="B24" s="17">
        <v>2.9</v>
      </c>
    </row>
    <row r="25" spans="1:2" x14ac:dyDescent="0.2">
      <c r="A25" s="16" t="s">
        <v>99</v>
      </c>
      <c r="B25" s="17">
        <v>2.5</v>
      </c>
    </row>
    <row r="26" spans="1:2" x14ac:dyDescent="0.2">
      <c r="A26" s="16" t="s">
        <v>90</v>
      </c>
      <c r="B26" s="17">
        <v>2</v>
      </c>
    </row>
    <row r="27" spans="1:2" x14ac:dyDescent="0.2">
      <c r="A27" s="16" t="s">
        <v>105</v>
      </c>
      <c r="B27" s="17">
        <v>0.8</v>
      </c>
    </row>
    <row r="28" spans="1:2" x14ac:dyDescent="0.2">
      <c r="A28" s="16" t="s">
        <v>38</v>
      </c>
      <c r="B28" s="17">
        <v>2.2000000000000002</v>
      </c>
    </row>
    <row r="29" spans="1:2" x14ac:dyDescent="0.2">
      <c r="A29" s="16" t="s">
        <v>19</v>
      </c>
      <c r="B29" s="17">
        <v>2.65</v>
      </c>
    </row>
    <row r="30" spans="1:2" x14ac:dyDescent="0.2">
      <c r="A30" s="16" t="s">
        <v>65</v>
      </c>
      <c r="B30" s="17">
        <v>2.2999999999999998</v>
      </c>
    </row>
    <row r="31" spans="1:2" x14ac:dyDescent="0.2">
      <c r="A31" s="16" t="s">
        <v>112</v>
      </c>
      <c r="B31" s="17">
        <v>2.0933333333333333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18E2-CE60-F947-8179-D6DE6EFA883F}">
  <dimension ref="A3:B10"/>
  <sheetViews>
    <sheetView workbookViewId="0">
      <selection activeCell="B5" sqref="B5"/>
    </sheetView>
  </sheetViews>
  <sheetFormatPr baseColWidth="10" defaultRowHeight="16" x14ac:dyDescent="0.2"/>
  <cols>
    <col min="1" max="1" width="13.6640625" bestFit="1" customWidth="1"/>
    <col min="2" max="2" width="15.6640625" bestFit="1" customWidth="1"/>
  </cols>
  <sheetData>
    <row r="3" spans="1:2" x14ac:dyDescent="0.2">
      <c r="A3" s="15" t="s">
        <v>111</v>
      </c>
      <c r="B3" t="s">
        <v>113</v>
      </c>
    </row>
    <row r="4" spans="1:2" x14ac:dyDescent="0.2">
      <c r="A4" s="16" t="s">
        <v>17</v>
      </c>
      <c r="B4" s="17">
        <v>8</v>
      </c>
    </row>
    <row r="5" spans="1:2" x14ac:dyDescent="0.2">
      <c r="A5" s="16" t="s">
        <v>49</v>
      </c>
      <c r="B5" s="17">
        <v>4</v>
      </c>
    </row>
    <row r="6" spans="1:2" x14ac:dyDescent="0.2">
      <c r="A6" s="16" t="s">
        <v>41</v>
      </c>
      <c r="B6" s="17">
        <v>4</v>
      </c>
    </row>
    <row r="7" spans="1:2" x14ac:dyDescent="0.2">
      <c r="A7" s="16" t="s">
        <v>10</v>
      </c>
      <c r="B7" s="17">
        <v>7</v>
      </c>
    </row>
    <row r="8" spans="1:2" x14ac:dyDescent="0.2">
      <c r="A8" s="16" t="s">
        <v>27</v>
      </c>
      <c r="B8" s="17">
        <v>1</v>
      </c>
    </row>
    <row r="9" spans="1:2" x14ac:dyDescent="0.2">
      <c r="A9" s="16" t="s">
        <v>23</v>
      </c>
      <c r="B9" s="17">
        <v>6</v>
      </c>
    </row>
    <row r="10" spans="1:2" x14ac:dyDescent="0.2">
      <c r="A10" s="16" t="s">
        <v>112</v>
      </c>
      <c r="B10" s="17">
        <v>30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6102-EE29-144E-851D-5837E37D754B}">
  <dimension ref="A1:O32"/>
  <sheetViews>
    <sheetView workbookViewId="0">
      <selection activeCell="D26" sqref="D26"/>
    </sheetView>
  </sheetViews>
  <sheetFormatPr baseColWidth="10" defaultRowHeight="16" x14ac:dyDescent="0.2"/>
  <cols>
    <col min="9" max="9" width="22" customWidth="1"/>
    <col min="12" max="12" width="18.33203125" customWidth="1"/>
  </cols>
  <sheetData>
    <row r="1" spans="1:15" x14ac:dyDescent="0.2">
      <c r="A1" s="1" t="s">
        <v>4</v>
      </c>
      <c r="B1" s="2" t="s">
        <v>0</v>
      </c>
      <c r="C1" s="2" t="s">
        <v>5</v>
      </c>
      <c r="D1" s="2" t="s">
        <v>1</v>
      </c>
      <c r="E1" s="2" t="s">
        <v>6</v>
      </c>
      <c r="F1" s="2" t="s">
        <v>7</v>
      </c>
      <c r="G1" s="2" t="s">
        <v>2</v>
      </c>
      <c r="H1" s="2" t="s">
        <v>3</v>
      </c>
      <c r="I1" s="3" t="s">
        <v>8</v>
      </c>
      <c r="J1" s="4"/>
      <c r="K1" s="4"/>
      <c r="L1" s="4"/>
      <c r="M1" s="4"/>
      <c r="N1" s="4"/>
      <c r="O1" s="4"/>
    </row>
    <row r="2" spans="1:15" x14ac:dyDescent="0.2">
      <c r="A2" s="5" t="s">
        <v>9</v>
      </c>
      <c r="B2" s="6">
        <v>46027</v>
      </c>
      <c r="C2" s="7" t="s">
        <v>10</v>
      </c>
      <c r="D2" s="7" t="s">
        <v>11</v>
      </c>
      <c r="E2" s="7">
        <v>1.2</v>
      </c>
      <c r="F2" s="7" t="s">
        <v>12</v>
      </c>
      <c r="G2" s="7" t="s">
        <v>13</v>
      </c>
      <c r="H2" s="7" t="s">
        <v>14</v>
      </c>
      <c r="I2" s="7" t="s">
        <v>15</v>
      </c>
      <c r="J2" s="8"/>
      <c r="K2" s="4"/>
      <c r="L2" s="4" t="s">
        <v>107</v>
      </c>
      <c r="M2" s="4">
        <v>30</v>
      </c>
      <c r="N2" s="4"/>
      <c r="O2" s="4"/>
    </row>
    <row r="3" spans="1:15" x14ac:dyDescent="0.2">
      <c r="A3" s="9" t="s">
        <v>16</v>
      </c>
      <c r="B3" s="10">
        <v>46027</v>
      </c>
      <c r="C3" s="11" t="s">
        <v>17</v>
      </c>
      <c r="D3" s="11" t="s">
        <v>18</v>
      </c>
      <c r="E3" s="11">
        <v>2.5</v>
      </c>
      <c r="F3" s="11" t="s">
        <v>19</v>
      </c>
      <c r="G3" s="11" t="s">
        <v>20</v>
      </c>
      <c r="H3" s="11" t="s">
        <v>14</v>
      </c>
      <c r="I3" s="11" t="s">
        <v>21</v>
      </c>
      <c r="J3" s="12"/>
      <c r="K3" s="4"/>
      <c r="L3" s="4" t="s">
        <v>108</v>
      </c>
      <c r="M3" s="13">
        <v>2.0933333300000001</v>
      </c>
      <c r="N3" s="4"/>
      <c r="O3" s="4"/>
    </row>
    <row r="4" spans="1:15" x14ac:dyDescent="0.2">
      <c r="A4" s="5" t="s">
        <v>22</v>
      </c>
      <c r="B4" s="6">
        <v>46028</v>
      </c>
      <c r="C4" s="7" t="s">
        <v>23</v>
      </c>
      <c r="D4" s="7" t="s">
        <v>11</v>
      </c>
      <c r="E4" s="7">
        <v>3</v>
      </c>
      <c r="F4" s="7" t="s">
        <v>24</v>
      </c>
      <c r="G4" s="7" t="s">
        <v>20</v>
      </c>
      <c r="H4" s="7" t="s">
        <v>14</v>
      </c>
      <c r="I4" s="7" t="s">
        <v>25</v>
      </c>
      <c r="J4" s="8"/>
      <c r="K4" s="4"/>
      <c r="L4" s="4" t="s">
        <v>109</v>
      </c>
      <c r="M4" s="14">
        <v>0.43</v>
      </c>
      <c r="N4" s="4"/>
      <c r="O4" s="4"/>
    </row>
    <row r="5" spans="1:15" x14ac:dyDescent="0.2">
      <c r="A5" s="9" t="s">
        <v>26</v>
      </c>
      <c r="B5" s="10">
        <v>46028</v>
      </c>
      <c r="C5" s="11" t="s">
        <v>27</v>
      </c>
      <c r="D5" s="11" t="s">
        <v>28</v>
      </c>
      <c r="E5" s="11">
        <v>0.8</v>
      </c>
      <c r="F5" s="11" t="s">
        <v>29</v>
      </c>
      <c r="G5" s="11" t="s">
        <v>13</v>
      </c>
      <c r="H5" s="11" t="s">
        <v>14</v>
      </c>
      <c r="I5" s="12" t="s">
        <v>30</v>
      </c>
      <c r="J5" s="4"/>
      <c r="K5" s="4"/>
      <c r="L5" s="4" t="s">
        <v>110</v>
      </c>
      <c r="M5" s="4">
        <v>10</v>
      </c>
      <c r="N5" s="4"/>
      <c r="O5" s="4"/>
    </row>
    <row r="6" spans="1:15" x14ac:dyDescent="0.2">
      <c r="A6" s="5" t="s">
        <v>31</v>
      </c>
      <c r="B6" s="6">
        <v>46029</v>
      </c>
      <c r="C6" s="7" t="s">
        <v>10</v>
      </c>
      <c r="D6" s="7" t="s">
        <v>18</v>
      </c>
      <c r="E6" s="7">
        <v>1</v>
      </c>
      <c r="F6" s="7" t="s">
        <v>32</v>
      </c>
      <c r="G6" s="7" t="s">
        <v>13</v>
      </c>
      <c r="H6" s="7" t="s">
        <v>14</v>
      </c>
      <c r="I6" s="7" t="s">
        <v>33</v>
      </c>
      <c r="J6" s="8"/>
      <c r="K6" s="4"/>
      <c r="L6" s="4"/>
      <c r="M6" s="4"/>
      <c r="N6" s="4"/>
      <c r="O6" s="4"/>
    </row>
    <row r="7" spans="1:15" x14ac:dyDescent="0.2">
      <c r="A7" s="9" t="s">
        <v>34</v>
      </c>
      <c r="B7" s="10">
        <v>46029</v>
      </c>
      <c r="C7" s="11" t="s">
        <v>17</v>
      </c>
      <c r="D7" s="11" t="s">
        <v>11</v>
      </c>
      <c r="E7" s="11">
        <v>4</v>
      </c>
      <c r="F7" s="11" t="s">
        <v>35</v>
      </c>
      <c r="G7" s="11" t="s">
        <v>20</v>
      </c>
      <c r="H7" s="11" t="s">
        <v>14</v>
      </c>
      <c r="I7" s="11" t="s">
        <v>36</v>
      </c>
      <c r="J7" s="12"/>
      <c r="K7" s="4"/>
      <c r="L7" s="4"/>
      <c r="M7" s="4"/>
      <c r="N7" s="4"/>
      <c r="O7" s="4"/>
    </row>
    <row r="8" spans="1:15" x14ac:dyDescent="0.2">
      <c r="A8" s="5" t="s">
        <v>37</v>
      </c>
      <c r="B8" s="6">
        <v>46030</v>
      </c>
      <c r="C8" s="7" t="s">
        <v>23</v>
      </c>
      <c r="D8" s="7" t="s">
        <v>18</v>
      </c>
      <c r="E8" s="7">
        <v>2.2000000000000002</v>
      </c>
      <c r="F8" s="7" t="s">
        <v>38</v>
      </c>
      <c r="G8" s="7" t="s">
        <v>13</v>
      </c>
      <c r="H8" s="7" t="s">
        <v>14</v>
      </c>
      <c r="I8" s="7" t="s">
        <v>39</v>
      </c>
      <c r="J8" s="8"/>
      <c r="K8" s="4"/>
      <c r="L8" s="4"/>
      <c r="M8" s="4"/>
      <c r="N8" s="4"/>
      <c r="O8" s="4"/>
    </row>
    <row r="9" spans="1:15" x14ac:dyDescent="0.2">
      <c r="A9" s="9" t="s">
        <v>40</v>
      </c>
      <c r="B9" s="10">
        <v>46030</v>
      </c>
      <c r="C9" s="11" t="s">
        <v>41</v>
      </c>
      <c r="D9" s="11" t="s">
        <v>28</v>
      </c>
      <c r="E9" s="11">
        <v>1.5</v>
      </c>
      <c r="F9" s="11" t="s">
        <v>42</v>
      </c>
      <c r="G9" s="11" t="s">
        <v>20</v>
      </c>
      <c r="H9" s="11" t="s">
        <v>14</v>
      </c>
      <c r="I9" s="11" t="s">
        <v>43</v>
      </c>
      <c r="J9" s="12"/>
      <c r="K9" s="4"/>
      <c r="L9" s="4"/>
      <c r="M9" s="4"/>
      <c r="N9" s="4"/>
      <c r="O9" s="4"/>
    </row>
    <row r="10" spans="1:15" x14ac:dyDescent="0.2">
      <c r="A10" s="5" t="s">
        <v>44</v>
      </c>
      <c r="B10" s="6">
        <v>46031</v>
      </c>
      <c r="C10" s="7" t="s">
        <v>10</v>
      </c>
      <c r="D10" s="7" t="s">
        <v>28</v>
      </c>
      <c r="E10" s="7">
        <v>0.6</v>
      </c>
      <c r="F10" s="7" t="s">
        <v>12</v>
      </c>
      <c r="G10" s="7" t="s">
        <v>13</v>
      </c>
      <c r="H10" s="7" t="s">
        <v>14</v>
      </c>
      <c r="I10" s="8" t="s">
        <v>45</v>
      </c>
      <c r="J10" s="4"/>
      <c r="K10" s="4"/>
      <c r="L10" s="4"/>
      <c r="M10" s="4"/>
      <c r="N10" s="4"/>
      <c r="O10" s="4"/>
    </row>
    <row r="11" spans="1:15" x14ac:dyDescent="0.2">
      <c r="A11" s="9" t="s">
        <v>46</v>
      </c>
      <c r="B11" s="10">
        <v>46031</v>
      </c>
      <c r="C11" s="11" t="s">
        <v>17</v>
      </c>
      <c r="D11" s="11" t="s">
        <v>18</v>
      </c>
      <c r="E11" s="11">
        <v>2.8</v>
      </c>
      <c r="F11" s="11" t="s">
        <v>19</v>
      </c>
      <c r="G11" s="11" t="s">
        <v>20</v>
      </c>
      <c r="H11" s="11" t="s">
        <v>14</v>
      </c>
      <c r="I11" s="11" t="s">
        <v>47</v>
      </c>
      <c r="J11" s="12"/>
      <c r="K11" s="4"/>
      <c r="L11" s="4"/>
      <c r="M11" s="4"/>
      <c r="N11" s="4"/>
      <c r="O11" s="4"/>
    </row>
    <row r="12" spans="1:15" x14ac:dyDescent="0.2">
      <c r="A12" s="5" t="s">
        <v>48</v>
      </c>
      <c r="B12" s="6">
        <v>46032</v>
      </c>
      <c r="C12" s="7" t="s">
        <v>49</v>
      </c>
      <c r="D12" s="7" t="s">
        <v>18</v>
      </c>
      <c r="E12" s="7">
        <v>1.7</v>
      </c>
      <c r="F12" s="7" t="s">
        <v>50</v>
      </c>
      <c r="G12" s="7" t="s">
        <v>13</v>
      </c>
      <c r="H12" s="7" t="s">
        <v>14</v>
      </c>
      <c r="I12" s="7" t="s">
        <v>51</v>
      </c>
      <c r="J12" s="8"/>
      <c r="K12" s="4"/>
      <c r="L12" s="4"/>
      <c r="M12" s="4"/>
      <c r="N12" s="4"/>
      <c r="O12" s="4"/>
    </row>
    <row r="13" spans="1:15" x14ac:dyDescent="0.2">
      <c r="A13" s="9" t="s">
        <v>52</v>
      </c>
      <c r="B13" s="10">
        <v>46032</v>
      </c>
      <c r="C13" s="11" t="s">
        <v>17</v>
      </c>
      <c r="D13" s="11" t="s">
        <v>11</v>
      </c>
      <c r="E13" s="11">
        <v>3.6</v>
      </c>
      <c r="F13" s="11" t="s">
        <v>53</v>
      </c>
      <c r="G13" s="11" t="s">
        <v>20</v>
      </c>
      <c r="H13" s="11" t="s">
        <v>14</v>
      </c>
      <c r="I13" s="11" t="s">
        <v>54</v>
      </c>
      <c r="J13" s="12"/>
      <c r="K13" s="4"/>
      <c r="L13" s="4"/>
      <c r="M13" s="4"/>
      <c r="N13" s="4"/>
      <c r="O13" s="4"/>
    </row>
    <row r="14" spans="1:15" x14ac:dyDescent="0.2">
      <c r="A14" s="5" t="s">
        <v>55</v>
      </c>
      <c r="B14" s="6">
        <v>46033</v>
      </c>
      <c r="C14" s="7" t="s">
        <v>10</v>
      </c>
      <c r="D14" s="7" t="s">
        <v>18</v>
      </c>
      <c r="E14" s="7">
        <v>0.9</v>
      </c>
      <c r="F14" s="7" t="s">
        <v>56</v>
      </c>
      <c r="G14" s="7" t="s">
        <v>13</v>
      </c>
      <c r="H14" s="7" t="s">
        <v>14</v>
      </c>
      <c r="I14" s="7" t="s">
        <v>57</v>
      </c>
      <c r="J14" s="8"/>
      <c r="K14" s="4"/>
      <c r="L14" s="4"/>
      <c r="M14" s="4"/>
      <c r="N14" s="4"/>
      <c r="O14" s="4"/>
    </row>
    <row r="15" spans="1:15" x14ac:dyDescent="0.2">
      <c r="A15" s="9" t="s">
        <v>58</v>
      </c>
      <c r="B15" s="10">
        <v>46033</v>
      </c>
      <c r="C15" s="11" t="s">
        <v>23</v>
      </c>
      <c r="D15" s="11" t="s">
        <v>11</v>
      </c>
      <c r="E15" s="11">
        <v>4.0999999999999996</v>
      </c>
      <c r="F15" s="11" t="s">
        <v>59</v>
      </c>
      <c r="G15" s="11" t="s">
        <v>20</v>
      </c>
      <c r="H15" s="11" t="s">
        <v>14</v>
      </c>
      <c r="I15" s="11" t="s">
        <v>60</v>
      </c>
      <c r="J15" s="12"/>
      <c r="K15" s="4"/>
      <c r="L15" s="4"/>
      <c r="M15" s="4"/>
      <c r="N15" s="4"/>
      <c r="O15" s="4"/>
    </row>
    <row r="16" spans="1:15" x14ac:dyDescent="0.2">
      <c r="A16" s="5" t="s">
        <v>61</v>
      </c>
      <c r="B16" s="6">
        <v>46034</v>
      </c>
      <c r="C16" s="7" t="s">
        <v>41</v>
      </c>
      <c r="D16" s="7" t="s">
        <v>28</v>
      </c>
      <c r="E16" s="7">
        <v>1.4</v>
      </c>
      <c r="F16" s="7" t="s">
        <v>62</v>
      </c>
      <c r="G16" s="7" t="s">
        <v>13</v>
      </c>
      <c r="H16" s="7" t="s">
        <v>14</v>
      </c>
      <c r="I16" s="7" t="s">
        <v>63</v>
      </c>
      <c r="J16" s="8"/>
      <c r="K16" s="4"/>
      <c r="L16" s="4"/>
      <c r="M16" s="4"/>
      <c r="N16" s="4"/>
      <c r="O16" s="4"/>
    </row>
    <row r="17" spans="1:15" x14ac:dyDescent="0.2">
      <c r="A17" s="9" t="s">
        <v>64</v>
      </c>
      <c r="B17" s="10">
        <v>46034</v>
      </c>
      <c r="C17" s="11" t="s">
        <v>17</v>
      </c>
      <c r="D17" s="11" t="s">
        <v>18</v>
      </c>
      <c r="E17" s="11">
        <v>2.2999999999999998</v>
      </c>
      <c r="F17" s="11" t="s">
        <v>65</v>
      </c>
      <c r="G17" s="11" t="s">
        <v>13</v>
      </c>
      <c r="H17" s="11" t="s">
        <v>14</v>
      </c>
      <c r="I17" s="11" t="s">
        <v>66</v>
      </c>
      <c r="J17" s="12"/>
      <c r="K17" s="4"/>
      <c r="L17" s="4"/>
      <c r="M17" s="4"/>
      <c r="N17" s="4"/>
      <c r="O17" s="4"/>
    </row>
    <row r="18" spans="1:15" x14ac:dyDescent="0.2">
      <c r="A18" s="5" t="s">
        <v>67</v>
      </c>
      <c r="B18" s="6">
        <v>46035</v>
      </c>
      <c r="C18" s="7" t="s">
        <v>10</v>
      </c>
      <c r="D18" s="7" t="s">
        <v>11</v>
      </c>
      <c r="E18" s="7">
        <v>1.1000000000000001</v>
      </c>
      <c r="F18" s="7" t="s">
        <v>68</v>
      </c>
      <c r="G18" s="7" t="s">
        <v>20</v>
      </c>
      <c r="H18" s="7" t="s">
        <v>14</v>
      </c>
      <c r="I18" s="7" t="s">
        <v>69</v>
      </c>
      <c r="J18" s="8"/>
      <c r="K18" s="4"/>
      <c r="L18" s="4"/>
      <c r="M18" s="4"/>
      <c r="N18" s="4"/>
      <c r="O18" s="4"/>
    </row>
    <row r="19" spans="1:15" x14ac:dyDescent="0.2">
      <c r="A19" s="9" t="s">
        <v>70</v>
      </c>
      <c r="B19" s="10">
        <v>46035</v>
      </c>
      <c r="C19" s="11" t="s">
        <v>49</v>
      </c>
      <c r="D19" s="11" t="s">
        <v>28</v>
      </c>
      <c r="E19" s="11">
        <v>0.7</v>
      </c>
      <c r="F19" s="11" t="s">
        <v>71</v>
      </c>
      <c r="G19" s="11" t="s">
        <v>13</v>
      </c>
      <c r="H19" s="11" t="s">
        <v>14</v>
      </c>
      <c r="I19" s="11" t="s">
        <v>72</v>
      </c>
      <c r="J19" s="12"/>
      <c r="K19" s="4"/>
      <c r="L19" s="4"/>
      <c r="M19" s="4"/>
      <c r="N19" s="4"/>
      <c r="O19" s="4"/>
    </row>
    <row r="20" spans="1:15" x14ac:dyDescent="0.2">
      <c r="A20" s="5" t="s">
        <v>73</v>
      </c>
      <c r="B20" s="6">
        <v>46036</v>
      </c>
      <c r="C20" s="7" t="s">
        <v>23</v>
      </c>
      <c r="D20" s="7" t="s">
        <v>18</v>
      </c>
      <c r="E20" s="7">
        <v>2.9</v>
      </c>
      <c r="F20" s="7" t="s">
        <v>74</v>
      </c>
      <c r="G20" s="7" t="s">
        <v>20</v>
      </c>
      <c r="H20" s="7" t="s">
        <v>14</v>
      </c>
      <c r="I20" s="7" t="s">
        <v>75</v>
      </c>
      <c r="J20" s="8"/>
      <c r="K20" s="4"/>
      <c r="L20" s="4"/>
      <c r="M20" s="4"/>
      <c r="N20" s="4"/>
      <c r="O20" s="4"/>
    </row>
    <row r="21" spans="1:15" x14ac:dyDescent="0.2">
      <c r="A21" s="9" t="s">
        <v>76</v>
      </c>
      <c r="B21" s="10">
        <v>46036</v>
      </c>
      <c r="C21" s="11" t="s">
        <v>17</v>
      </c>
      <c r="D21" s="11" t="s">
        <v>11</v>
      </c>
      <c r="E21" s="11">
        <v>5</v>
      </c>
      <c r="F21" s="11" t="s">
        <v>77</v>
      </c>
      <c r="G21" s="11" t="s">
        <v>20</v>
      </c>
      <c r="H21" s="11" t="s">
        <v>14</v>
      </c>
      <c r="I21" s="11" t="s">
        <v>78</v>
      </c>
      <c r="J21" s="12"/>
      <c r="K21" s="4"/>
      <c r="L21" s="4"/>
      <c r="M21" s="4"/>
      <c r="N21" s="4"/>
      <c r="O21" s="4"/>
    </row>
    <row r="22" spans="1:15" x14ac:dyDescent="0.2">
      <c r="A22" s="5" t="s">
        <v>79</v>
      </c>
      <c r="B22" s="6">
        <v>46037</v>
      </c>
      <c r="C22" s="7" t="s">
        <v>41</v>
      </c>
      <c r="D22" s="7" t="s">
        <v>18</v>
      </c>
      <c r="E22" s="7">
        <v>1.8</v>
      </c>
      <c r="F22" s="7" t="s">
        <v>80</v>
      </c>
      <c r="G22" s="7" t="s">
        <v>13</v>
      </c>
      <c r="H22" s="7" t="s">
        <v>14</v>
      </c>
      <c r="I22" s="7" t="s">
        <v>81</v>
      </c>
      <c r="J22" s="8"/>
      <c r="K22" s="4"/>
      <c r="L22" s="4"/>
      <c r="M22" s="4"/>
      <c r="N22" s="4"/>
      <c r="O22" s="4"/>
    </row>
    <row r="23" spans="1:15" x14ac:dyDescent="0.2">
      <c r="A23" s="9" t="s">
        <v>82</v>
      </c>
      <c r="B23" s="10">
        <v>46037</v>
      </c>
      <c r="C23" s="11" t="s">
        <v>10</v>
      </c>
      <c r="D23" s="11" t="s">
        <v>28</v>
      </c>
      <c r="E23" s="11">
        <v>0.5</v>
      </c>
      <c r="F23" s="11" t="s">
        <v>12</v>
      </c>
      <c r="G23" s="11" t="s">
        <v>13</v>
      </c>
      <c r="H23" s="11" t="s">
        <v>14</v>
      </c>
      <c r="I23" s="11" t="s">
        <v>83</v>
      </c>
      <c r="J23" s="12"/>
      <c r="K23" s="4"/>
      <c r="L23" s="4"/>
      <c r="M23" s="4"/>
      <c r="N23" s="4"/>
      <c r="O23" s="4"/>
    </row>
    <row r="24" spans="1:15" x14ac:dyDescent="0.2">
      <c r="A24" s="5" t="s">
        <v>84</v>
      </c>
      <c r="B24" s="6">
        <v>46038</v>
      </c>
      <c r="C24" s="7" t="s">
        <v>23</v>
      </c>
      <c r="D24" s="7" t="s">
        <v>11</v>
      </c>
      <c r="E24" s="7">
        <v>3.7</v>
      </c>
      <c r="F24" s="7" t="s">
        <v>85</v>
      </c>
      <c r="G24" s="7" t="s">
        <v>20</v>
      </c>
      <c r="H24" s="7" t="s">
        <v>14</v>
      </c>
      <c r="I24" s="7" t="s">
        <v>86</v>
      </c>
      <c r="J24" s="8"/>
      <c r="K24" s="4"/>
      <c r="L24" s="4"/>
      <c r="M24" s="4"/>
      <c r="N24" s="4"/>
      <c r="O24" s="4"/>
    </row>
    <row r="25" spans="1:15" x14ac:dyDescent="0.2">
      <c r="A25" s="9" t="s">
        <v>87</v>
      </c>
      <c r="B25" s="10">
        <v>46038</v>
      </c>
      <c r="C25" s="11" t="s">
        <v>49</v>
      </c>
      <c r="D25" s="11" t="s">
        <v>18</v>
      </c>
      <c r="E25" s="11">
        <v>1.6</v>
      </c>
      <c r="F25" s="11" t="s">
        <v>88</v>
      </c>
      <c r="G25" s="11" t="s">
        <v>13</v>
      </c>
      <c r="H25" s="11" t="s">
        <v>14</v>
      </c>
      <c r="I25" s="11" t="s">
        <v>51</v>
      </c>
      <c r="J25" s="12"/>
      <c r="K25" s="4"/>
      <c r="L25" s="4"/>
      <c r="M25" s="4"/>
      <c r="N25" s="4"/>
      <c r="O25" s="4"/>
    </row>
    <row r="26" spans="1:15" x14ac:dyDescent="0.2">
      <c r="A26" s="5" t="s">
        <v>89</v>
      </c>
      <c r="B26" s="6">
        <v>46039</v>
      </c>
      <c r="C26" s="7" t="s">
        <v>17</v>
      </c>
      <c r="D26" s="7" t="s">
        <v>18</v>
      </c>
      <c r="E26" s="7">
        <v>2</v>
      </c>
      <c r="F26" s="7" t="s">
        <v>90</v>
      </c>
      <c r="G26" s="7" t="s">
        <v>13</v>
      </c>
      <c r="H26" s="7" t="s">
        <v>14</v>
      </c>
      <c r="I26" s="7" t="s">
        <v>91</v>
      </c>
      <c r="J26" s="8"/>
      <c r="K26" s="4"/>
      <c r="L26" s="4"/>
      <c r="M26" s="4"/>
      <c r="N26" s="4"/>
      <c r="O26" s="4"/>
    </row>
    <row r="27" spans="1:15" x14ac:dyDescent="0.2">
      <c r="A27" s="9" t="s">
        <v>92</v>
      </c>
      <c r="B27" s="10">
        <v>46039</v>
      </c>
      <c r="C27" s="11" t="s">
        <v>10</v>
      </c>
      <c r="D27" s="11" t="s">
        <v>11</v>
      </c>
      <c r="E27" s="11">
        <v>1.3</v>
      </c>
      <c r="F27" s="11" t="s">
        <v>93</v>
      </c>
      <c r="G27" s="11" t="s">
        <v>20</v>
      </c>
      <c r="H27" s="11" t="s">
        <v>14</v>
      </c>
      <c r="I27" s="11" t="s">
        <v>94</v>
      </c>
      <c r="J27" s="12"/>
      <c r="K27" s="4"/>
      <c r="L27" s="4"/>
      <c r="M27" s="4"/>
      <c r="N27" s="4"/>
      <c r="O27" s="4"/>
    </row>
    <row r="28" spans="1:15" x14ac:dyDescent="0.2">
      <c r="A28" s="5" t="s">
        <v>95</v>
      </c>
      <c r="B28" s="6">
        <v>46040</v>
      </c>
      <c r="C28" s="7" t="s">
        <v>41</v>
      </c>
      <c r="D28" s="7" t="s">
        <v>28</v>
      </c>
      <c r="E28" s="7">
        <v>0.9</v>
      </c>
      <c r="F28" s="7" t="s">
        <v>96</v>
      </c>
      <c r="G28" s="7" t="s">
        <v>13</v>
      </c>
      <c r="H28" s="7" t="s">
        <v>14</v>
      </c>
      <c r="I28" s="7" t="s">
        <v>97</v>
      </c>
      <c r="J28" s="8"/>
      <c r="K28" s="4"/>
      <c r="L28" s="4"/>
      <c r="M28" s="4"/>
      <c r="N28" s="4"/>
      <c r="O28" s="4"/>
    </row>
    <row r="29" spans="1:15" x14ac:dyDescent="0.2">
      <c r="A29" s="9" t="s">
        <v>98</v>
      </c>
      <c r="B29" s="10">
        <v>46040</v>
      </c>
      <c r="C29" s="11" t="s">
        <v>23</v>
      </c>
      <c r="D29" s="11" t="s">
        <v>18</v>
      </c>
      <c r="E29" s="11">
        <v>2.5</v>
      </c>
      <c r="F29" s="11" t="s">
        <v>99</v>
      </c>
      <c r="G29" s="11" t="s">
        <v>13</v>
      </c>
      <c r="H29" s="11" t="s">
        <v>14</v>
      </c>
      <c r="I29" s="11" t="s">
        <v>100</v>
      </c>
      <c r="J29" s="11"/>
      <c r="K29" s="12"/>
      <c r="L29" s="4"/>
      <c r="M29" s="4"/>
      <c r="N29" s="4"/>
      <c r="O29" s="4"/>
    </row>
    <row r="30" spans="1:15" x14ac:dyDescent="0.2">
      <c r="A30" s="5" t="s">
        <v>101</v>
      </c>
      <c r="B30" s="6">
        <v>46041</v>
      </c>
      <c r="C30" s="7" t="s">
        <v>17</v>
      </c>
      <c r="D30" s="7" t="s">
        <v>11</v>
      </c>
      <c r="E30" s="7">
        <v>4.4000000000000004</v>
      </c>
      <c r="F30" s="7" t="s">
        <v>102</v>
      </c>
      <c r="G30" s="7" t="s">
        <v>20</v>
      </c>
      <c r="H30" s="7" t="s">
        <v>14</v>
      </c>
      <c r="I30" s="7" t="s">
        <v>103</v>
      </c>
      <c r="J30" s="8"/>
      <c r="K30" s="4"/>
      <c r="L30" s="4"/>
      <c r="M30" s="4"/>
      <c r="N30" s="4"/>
      <c r="O30" s="4"/>
    </row>
    <row r="31" spans="1:15" x14ac:dyDescent="0.2">
      <c r="A31" s="9" t="s">
        <v>104</v>
      </c>
      <c r="B31" s="10">
        <v>46041</v>
      </c>
      <c r="C31" s="11" t="s">
        <v>49</v>
      </c>
      <c r="D31" s="11" t="s">
        <v>28</v>
      </c>
      <c r="E31" s="11">
        <v>0.8</v>
      </c>
      <c r="F31" s="11" t="s">
        <v>105</v>
      </c>
      <c r="G31" s="11" t="s">
        <v>13</v>
      </c>
      <c r="H31" s="11" t="s">
        <v>14</v>
      </c>
      <c r="I31" s="11" t="s">
        <v>106</v>
      </c>
      <c r="J31" s="12"/>
      <c r="K31" s="4"/>
      <c r="L31" s="4"/>
      <c r="M31" s="4"/>
      <c r="N31" s="4"/>
      <c r="O31" s="4"/>
    </row>
    <row r="32" spans="1:1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9FC9-D996-C342-8F70-145781C270C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Dashboard1</vt:lpstr>
      <vt:lpstr>Dashboard</vt:lpstr>
      <vt:lpstr>Ticket Data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Vann, Zarriah</dc:creator>
  <cp:lastModifiedBy>Vann, Zarriah</cp:lastModifiedBy>
  <dcterms:created xsi:type="dcterms:W3CDTF">2026-05-15T23:18:00Z</dcterms:created>
  <dcterms:modified xsi:type="dcterms:W3CDTF">2026-05-15T23:48:02Z</dcterms:modified>
</cp:coreProperties>
</file>